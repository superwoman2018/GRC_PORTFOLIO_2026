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tement of Applicability" sheetId="2" state="visible" r:id="rId2"/>
    <sheet xmlns:r="http://schemas.openxmlformats.org/officeDocument/2006/relationships" name="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9.5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9D9D9"/>
        <b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3" min="1" max="1"/>
    <col width="110" customWidth="1" style="13" min="2" max="2"/>
  </cols>
  <sheetData>
    <row r="2" ht="19.7" customHeight="1" s="14">
      <c r="B2" s="15" t="inlineStr">
        <is>
          <t>Statement of Applicability — CloudNative (ISO/IEC 27001:2022, Annex A)</t>
        </is>
      </c>
    </row>
    <row r="3" ht="15" customHeight="1" s="14">
      <c r="B3" s="16" t="inlineStr">
        <is>
          <t>Scenario: a cloud-native SaaS company, fully remote, hosted on AWS, building its SoA from an existing internal Evidence Index.</t>
        </is>
      </c>
    </row>
    <row r="5" ht="15" customHeight="1" s="14">
      <c r="B5" s="17" t="inlineStr">
        <is>
          <t>How this was built</t>
        </is>
      </c>
    </row>
    <row r="6" ht="15" customHeight="1" s="14">
      <c r="B6" s="18" t="inlineStr">
        <is>
          <t>1. Started from an internal Evidence Index (32 artifacts) mapping existing policies/standards/records to Annex A controls.</t>
        </is>
      </c>
    </row>
    <row r="7" ht="15" customHeight="1" s="14">
      <c r="B7" s="18" t="inlineStr">
        <is>
          <t>2. Every control the evidence already covers is marked Applicable = Yes, Implemented, with the evidence ID(s) referenced.</t>
        </is>
      </c>
    </row>
    <row r="8" ht="15" customHeight="1" s="14">
      <c r="B8" s="18" t="inlineStr">
        <is>
          <t>3. For the controls the evidence index did NOT cover (16 of 93), each was individually assessed:</t>
        </is>
      </c>
    </row>
    <row r="9" ht="15" customHeight="1" s="14">
      <c r="B9" s="18" t="inlineStr">
        <is>
          <t xml:space="preserve">   - Most Physical (A.7) controls are marked Not Applicable, with the justification that this is a fully cloud-native,</t>
        </is>
      </c>
    </row>
    <row r="10" ht="15" customHeight="1" s="14">
      <c r="B10" s="18" t="inlineStr">
        <is>
          <t xml:space="preserve">     remote-first organization with no owned physical premises — physical security sits with AWS as the cloud provider.</t>
        </is>
      </c>
    </row>
    <row r="11" ht="15" customHeight="1" s="14">
      <c r="B11" s="18" t="inlineStr">
        <is>
          <t xml:space="preserve">   - A.8.30 (Outsourced development) is marked Not Applicable because all development is currently in-house.</t>
        </is>
      </c>
    </row>
    <row r="12" ht="15" customHeight="1" s="14">
      <c r="B12" s="18" t="inlineStr">
        <is>
          <t xml:space="preserve">   - The remaining gaps are marked Applicable but flagged Partial/Gap — a genuine finding, not hidden.</t>
        </is>
      </c>
    </row>
    <row r="13" ht="15" customHeight="1" s="14">
      <c r="B13" s="18" t="inlineStr">
        <is>
          <t>4. This is a demo/portfolio exercise. Company name, evidence artifacts, and judgment calls are illustrative.</t>
        </is>
      </c>
    </row>
    <row r="14" ht="15" customHeight="1" s="14">
      <c r="B14" s="18" t="n"/>
    </row>
    <row r="15" ht="15" customHeight="1" s="14">
      <c r="B15" s="17" t="inlineStr">
        <is>
          <t>Column definitions</t>
        </is>
      </c>
    </row>
    <row r="16" ht="15" customHeight="1" s="14">
      <c r="B16" s="18" t="inlineStr">
        <is>
          <t>Control ID / Title / Theme — from ISO/IEC 27001:2022 Annex A (93 controls, 4 themes).</t>
        </is>
      </c>
    </row>
    <row r="17" ht="15" customHeight="1" s="14">
      <c r="B17" s="18" t="inlineStr">
        <is>
          <t>Applicable — Yes/No decision for this organization.</t>
        </is>
      </c>
    </row>
    <row r="18" ht="15" customHeight="1" s="14">
      <c r="B18" s="18" t="inlineStr">
        <is>
          <t>Justification — the reasoning behind the Yes/No decision (this is the actual SoA requirement).</t>
        </is>
      </c>
    </row>
    <row r="19" ht="15" customHeight="1" s="14">
      <c r="B19" s="18" t="inlineStr">
        <is>
          <t>Evidence Reference — Evidence Index ID(s) (EV-XXX) supporting the control, where available.</t>
        </is>
      </c>
    </row>
    <row r="20" ht="15" customHeight="1" s="14">
      <c r="B20" s="18" t="inlineStr">
        <is>
          <t>Implementation Status — Implemented / Partial-Gap / N/A.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9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34" customWidth="1" style="13" min="2" max="2"/>
    <col width="14" customWidth="1" style="13" min="3" max="3"/>
    <col width="11" customWidth="1" style="13" min="4" max="4"/>
    <col width="55" customWidth="1" style="13" min="5" max="5"/>
    <col width="14" customWidth="1" style="13" min="6" max="6"/>
    <col width="24" customWidth="1" style="13" min="7" max="7"/>
  </cols>
  <sheetData>
    <row r="1" ht="25.5" customHeight="1" s="14">
      <c r="A1" s="15" t="inlineStr">
        <is>
          <t>Statement of Applicability — CloudNative (ISO/IEC 27001:2022 Annex A)</t>
        </is>
      </c>
    </row>
    <row r="2" ht="15" customHeight="1" s="14">
      <c r="A2" s="16" t="inlineStr">
        <is>
          <t>93 Annex A controls. Yes/No + justification for every row is the actual SoA requirement — see README tab for methodology.</t>
        </is>
      </c>
    </row>
    <row r="4" ht="27.75" customHeight="1" s="14">
      <c r="A4" s="19" t="inlineStr">
        <is>
          <t>Control ID</t>
        </is>
      </c>
      <c r="B4" s="19" t="inlineStr">
        <is>
          <t>Control Title</t>
        </is>
      </c>
      <c r="C4" s="19" t="inlineStr">
        <is>
          <t>Theme</t>
        </is>
      </c>
      <c r="D4" s="19" t="inlineStr">
        <is>
          <t>Applicable</t>
        </is>
      </c>
      <c r="E4" s="19" t="inlineStr">
        <is>
          <t>Justification</t>
        </is>
      </c>
      <c r="F4" s="19" t="inlineStr">
        <is>
          <t>Evidence Ref.</t>
        </is>
      </c>
      <c r="G4" s="19" t="inlineStr">
        <is>
          <t>Implementation Status</t>
        </is>
      </c>
    </row>
    <row r="5" ht="45.75" customHeight="1" s="14">
      <c r="A5" s="20" t="inlineStr">
        <is>
          <t>A.5.1</t>
        </is>
      </c>
      <c r="B5" s="20" t="inlineStr">
        <is>
          <t>Policies for information security</t>
        </is>
      </c>
      <c r="C5" s="20" t="inlineStr">
        <is>
          <t>Organizational</t>
        </is>
      </c>
      <c r="D5" s="21" t="inlineStr">
        <is>
          <t>Yes</t>
        </is>
      </c>
      <c r="E5" s="20" t="inlineStr">
        <is>
          <t>Applicable to cloud-hosted operations; implemented and evidenced through existing ISMS documentation.</t>
        </is>
      </c>
      <c r="F5" s="20" t="inlineStr">
        <is>
          <t>EV-001</t>
        </is>
      </c>
      <c r="G5" s="21" t="inlineStr">
        <is>
          <t>Implemented</t>
        </is>
      </c>
    </row>
    <row r="6" ht="45.75" customHeight="1" s="14">
      <c r="A6" s="20" t="inlineStr">
        <is>
          <t>A.5.2</t>
        </is>
      </c>
      <c r="B6" s="20" t="inlineStr">
        <is>
          <t>Information security roles and responsibilities</t>
        </is>
      </c>
      <c r="C6" s="20" t="inlineStr">
        <is>
          <t>Organizational</t>
        </is>
      </c>
      <c r="D6" s="21" t="inlineStr">
        <is>
          <t>Yes</t>
        </is>
      </c>
      <c r="E6" s="20" t="inlineStr">
        <is>
          <t>Applicable to cloud-hosted operations; implemented and evidenced through existing ISMS documentation.</t>
        </is>
      </c>
      <c r="F6" s="20" t="inlineStr">
        <is>
          <t>EV-001</t>
        </is>
      </c>
      <c r="G6" s="21" t="inlineStr">
        <is>
          <t>Implemented</t>
        </is>
      </c>
    </row>
    <row r="7" ht="45.75" customHeight="1" s="14">
      <c r="A7" s="20" t="inlineStr">
        <is>
          <t>A.5.3</t>
        </is>
      </c>
      <c r="B7" s="20" t="inlineStr">
        <is>
          <t>Segregation of duties</t>
        </is>
      </c>
      <c r="C7" s="20" t="inlineStr">
        <is>
          <t>Organizational</t>
        </is>
      </c>
      <c r="D7" s="21" t="inlineStr">
        <is>
          <t>Yes</t>
        </is>
      </c>
      <c r="E7" s="20" t="inlineStr">
        <is>
          <t>Applicable, but full segregation is constrained by current team size. Compensating control: all production changes require independent peer review before deployment (see A.8.32).</t>
        </is>
      </c>
      <c r="F7" s="20" t="inlineStr">
        <is>
          <t>—</t>
        </is>
      </c>
      <c r="G7" s="22" t="inlineStr">
        <is>
          <t>Partial — compensating control in place, no dedicated policy yet</t>
        </is>
      </c>
    </row>
    <row r="8" ht="45.75" customHeight="1" s="14">
      <c r="A8" s="20" t="inlineStr">
        <is>
          <t>A.5.4</t>
        </is>
      </c>
      <c r="B8" s="20" t="inlineStr">
        <is>
          <t>Management responsibilities</t>
        </is>
      </c>
      <c r="C8" s="20" t="inlineStr">
        <is>
          <t>Organizational</t>
        </is>
      </c>
      <c r="D8" s="21" t="inlineStr">
        <is>
          <t>Yes</t>
        </is>
      </c>
      <c r="E8" s="20" t="inlineStr">
        <is>
          <t>Applicable to cloud-hosted operations; implemented and evidenced through existing ISMS documentation.</t>
        </is>
      </c>
      <c r="F8" s="20" t="inlineStr">
        <is>
          <t>EV-001</t>
        </is>
      </c>
      <c r="G8" s="21" t="inlineStr">
        <is>
          <t>Implemented</t>
        </is>
      </c>
    </row>
    <row r="9" ht="45.75" customHeight="1" s="14">
      <c r="A9" s="20" t="inlineStr">
        <is>
          <t>A.5.5</t>
        </is>
      </c>
      <c r="B9" s="20" t="inlineStr">
        <is>
          <t>Contact with authorities</t>
        </is>
      </c>
      <c r="C9" s="20" t="inlineStr">
        <is>
          <t>Organizational</t>
        </is>
      </c>
      <c r="D9" s="21" t="inlineStr">
        <is>
          <t>Yes</t>
        </is>
      </c>
      <c r="E9" s="20" t="inlineStr">
        <is>
          <t>Applicable — required to meet breach notification and law-enforcement liaison obligations. No formal contact list or escalation procedure documented yet.</t>
        </is>
      </c>
      <c r="F9" s="20" t="inlineStr">
        <is>
          <t>—</t>
        </is>
      </c>
      <c r="G9" s="22" t="inlineStr">
        <is>
          <t>Gap — not yet documented</t>
        </is>
      </c>
    </row>
    <row r="10" ht="45.75" customHeight="1" s="14">
      <c r="A10" s="20" t="inlineStr">
        <is>
          <t>A.5.6</t>
        </is>
      </c>
      <c r="B10" s="20" t="inlineStr">
        <is>
          <t>Contact with special interest groups</t>
        </is>
      </c>
      <c r="C10" s="20" t="inlineStr">
        <is>
          <t>Organizational</t>
        </is>
      </c>
      <c r="D10" s="21" t="inlineStr">
        <is>
          <t>Yes</t>
        </is>
      </c>
      <c r="E10" s="20" t="inlineStr">
        <is>
          <t>Applicable at a low level of formality. Engineering staff maintain informal contact with security communities and vendor advisories; no formal SIG membership or subscription is tracked.</t>
        </is>
      </c>
      <c r="F10" s="20" t="inlineStr">
        <is>
          <t>—</t>
        </is>
      </c>
      <c r="G10" s="22" t="inlineStr">
        <is>
          <t>Gap — informal only, not evidenced</t>
        </is>
      </c>
    </row>
    <row r="11" ht="45.75" customHeight="1" s="14">
      <c r="A11" s="20" t="inlineStr">
        <is>
          <t>A.5.7</t>
        </is>
      </c>
      <c r="B11" s="20" t="inlineStr">
        <is>
          <t>Threat intelligence</t>
        </is>
      </c>
      <c r="C11" s="20" t="inlineStr">
        <is>
          <t>Organizational</t>
        </is>
      </c>
      <c r="D11" s="21" t="inlineStr">
        <is>
          <t>Yes</t>
        </is>
      </c>
      <c r="E11" s="20" t="inlineStr">
        <is>
          <t>Applicable to cloud-hosted operations; implemented and evidenced through existing ISMS documentation.</t>
        </is>
      </c>
      <c r="F11" s="20" t="inlineStr">
        <is>
          <t>EV-002</t>
        </is>
      </c>
      <c r="G11" s="21" t="inlineStr">
        <is>
          <t>Implemented</t>
        </is>
      </c>
    </row>
    <row r="12" ht="45.75" customHeight="1" s="14">
      <c r="A12" s="20" t="inlineStr">
        <is>
          <t>A.5.8</t>
        </is>
      </c>
      <c r="B12" s="20" t="inlineStr">
        <is>
          <t>Information security in project management</t>
        </is>
      </c>
      <c r="C12" s="20" t="inlineStr">
        <is>
          <t>Organizational</t>
        </is>
      </c>
      <c r="D12" s="21" t="inlineStr">
        <is>
          <t>Yes</t>
        </is>
      </c>
      <c r="E12" s="20" t="inlineStr">
        <is>
          <t>Applicable to cloud-hosted operations; implemented and evidenced through existing ISMS documentation.</t>
        </is>
      </c>
      <c r="F12" s="20" t="inlineStr">
        <is>
          <t>EV-002</t>
        </is>
      </c>
      <c r="G12" s="21" t="inlineStr">
        <is>
          <t>Implemented</t>
        </is>
      </c>
    </row>
    <row r="13" ht="45.75" customHeight="1" s="14">
      <c r="A13" s="20" t="inlineStr">
        <is>
          <t>A.5.9</t>
        </is>
      </c>
      <c r="B13" s="20" t="inlineStr">
        <is>
          <t>Inventory of information and other associated assets</t>
        </is>
      </c>
      <c r="C13" s="20" t="inlineStr">
        <is>
          <t>Organizational</t>
        </is>
      </c>
      <c r="D13" s="21" t="inlineStr">
        <is>
          <t>Yes</t>
        </is>
      </c>
      <c r="E13" s="20" t="inlineStr">
        <is>
          <t>Applicable to cloud-hosted operations; implemented and evidenced through existing ISMS documentation.</t>
        </is>
      </c>
      <c r="F13" s="20" t="inlineStr">
        <is>
          <t>EV-003</t>
        </is>
      </c>
      <c r="G13" s="21" t="inlineStr">
        <is>
          <t>Implemented</t>
        </is>
      </c>
    </row>
    <row r="14" ht="45.75" customHeight="1" s="14">
      <c r="A14" s="20" t="inlineStr">
        <is>
          <t>A.5.10</t>
        </is>
      </c>
      <c r="B14" s="20" t="inlineStr">
        <is>
          <t>Acceptable use of information and other associated assets</t>
        </is>
      </c>
      <c r="C14" s="20" t="inlineStr">
        <is>
          <t>Organizational</t>
        </is>
      </c>
      <c r="D14" s="21" t="inlineStr">
        <is>
          <t>Yes</t>
        </is>
      </c>
      <c r="E14" s="20" t="inlineStr">
        <is>
          <t>Applicable to cloud-hosted operations; implemented and evidenced through existing ISMS documentation.</t>
        </is>
      </c>
      <c r="F14" s="20" t="inlineStr">
        <is>
          <t>EV-003</t>
        </is>
      </c>
      <c r="G14" s="21" t="inlineStr">
        <is>
          <t>Implemented</t>
        </is>
      </c>
    </row>
    <row r="15" ht="45.75" customHeight="1" s="14">
      <c r="A15" s="20" t="inlineStr">
        <is>
          <t>A.5.11</t>
        </is>
      </c>
      <c r="B15" s="20" t="inlineStr">
        <is>
          <t>Return of assets</t>
        </is>
      </c>
      <c r="C15" s="20" t="inlineStr">
        <is>
          <t>Organizational</t>
        </is>
      </c>
      <c r="D15" s="21" t="inlineStr">
        <is>
          <t>Yes</t>
        </is>
      </c>
      <c r="E15" s="20" t="inlineStr">
        <is>
          <t>Applicable. Asset return on exit is expected to be covered by the Joiner-Mover-Leaver Procedure, but a dedicated return-of-assets checklist is not separately evidenced.</t>
        </is>
      </c>
      <c r="F15" s="20" t="inlineStr">
        <is>
          <t>—</t>
        </is>
      </c>
      <c r="G15" s="22" t="inlineStr">
        <is>
          <t>Partial — implied by EV-015, not independently evidenced</t>
        </is>
      </c>
    </row>
    <row r="16" ht="45.75" customHeight="1" s="14">
      <c r="A16" s="20" t="inlineStr">
        <is>
          <t>A.5.12</t>
        </is>
      </c>
      <c r="B16" s="20" t="inlineStr">
        <is>
          <t>Classification of information</t>
        </is>
      </c>
      <c r="C16" s="20" t="inlineStr">
        <is>
          <t>Organizational</t>
        </is>
      </c>
      <c r="D16" s="21" t="inlineStr">
        <is>
          <t>Yes</t>
        </is>
      </c>
      <c r="E16" s="20" t="inlineStr">
        <is>
          <t>Applicable to cloud-hosted operations; implemented and evidenced through existing ISMS documentation.</t>
        </is>
      </c>
      <c r="F16" s="20" t="inlineStr">
        <is>
          <t>EV-014</t>
        </is>
      </c>
      <c r="G16" s="21" t="inlineStr">
        <is>
          <t>Implemented</t>
        </is>
      </c>
    </row>
    <row r="17" ht="45.75" customHeight="1" s="14">
      <c r="A17" s="20" t="inlineStr">
        <is>
          <t>A.5.13</t>
        </is>
      </c>
      <c r="B17" s="20" t="inlineStr">
        <is>
          <t>Labelling of information</t>
        </is>
      </c>
      <c r="C17" s="20" t="inlineStr">
        <is>
          <t>Organizational</t>
        </is>
      </c>
      <c r="D17" s="21" t="inlineStr">
        <is>
          <t>Yes</t>
        </is>
      </c>
      <c r="E17" s="20" t="inlineStr">
        <is>
          <t>Applicable to cloud-hosted operations; implemented and evidenced through existing ISMS documentation.</t>
        </is>
      </c>
      <c r="F17" s="20" t="inlineStr">
        <is>
          <t>EV-014</t>
        </is>
      </c>
      <c r="G17" s="21" t="inlineStr">
        <is>
          <t>Implemented</t>
        </is>
      </c>
    </row>
    <row r="18" ht="45.75" customHeight="1" s="14">
      <c r="A18" s="20" t="inlineStr">
        <is>
          <t>A.5.14</t>
        </is>
      </c>
      <c r="B18" s="20" t="inlineStr">
        <is>
          <t>Information transfer</t>
        </is>
      </c>
      <c r="C18" s="20" t="inlineStr">
        <is>
          <t>Organizational</t>
        </is>
      </c>
      <c r="D18" s="21" t="inlineStr">
        <is>
          <t>Yes</t>
        </is>
      </c>
      <c r="E18" s="20" t="inlineStr">
        <is>
          <t>Applicable to cloud-hosted operations; implemented and evidenced through existing ISMS documentation.</t>
        </is>
      </c>
      <c r="F18" s="20" t="inlineStr">
        <is>
          <t>EV-014</t>
        </is>
      </c>
      <c r="G18" s="21" t="inlineStr">
        <is>
          <t>Implemented</t>
        </is>
      </c>
    </row>
    <row r="19" ht="45.75" customHeight="1" s="14">
      <c r="A19" s="20" t="inlineStr">
        <is>
          <t>A.5.15</t>
        </is>
      </c>
      <c r="B19" s="20" t="inlineStr">
        <is>
          <t>Access control</t>
        </is>
      </c>
      <c r="C19" s="20" t="inlineStr">
        <is>
          <t>Organizational</t>
        </is>
      </c>
      <c r="D19" s="21" t="inlineStr">
        <is>
          <t>Yes</t>
        </is>
      </c>
      <c r="E19" s="20" t="inlineStr">
        <is>
          <t>Applicable to cloud-hosted operations; implemented and evidenced through existing ISMS documentation.</t>
        </is>
      </c>
      <c r="F19" s="20" t="inlineStr">
        <is>
          <t>EV-004</t>
        </is>
      </c>
      <c r="G19" s="21" t="inlineStr">
        <is>
          <t>Implemented</t>
        </is>
      </c>
    </row>
    <row r="20" ht="45.75" customHeight="1" s="14">
      <c r="A20" s="20" t="inlineStr">
        <is>
          <t>A.5.16</t>
        </is>
      </c>
      <c r="B20" s="20" t="inlineStr">
        <is>
          <t>Identity management</t>
        </is>
      </c>
      <c r="C20" s="20" t="inlineStr">
        <is>
          <t>Organizational</t>
        </is>
      </c>
      <c r="D20" s="21" t="inlineStr">
        <is>
          <t>Yes</t>
        </is>
      </c>
      <c r="E20" s="20" t="inlineStr">
        <is>
          <t>Applicable to cloud-hosted operations; implemented and evidenced through existing ISMS documentation.</t>
        </is>
      </c>
      <c r="F20" s="20" t="inlineStr">
        <is>
          <t>EV-004, EV-015</t>
        </is>
      </c>
      <c r="G20" s="21" t="inlineStr">
        <is>
          <t>Implemented</t>
        </is>
      </c>
    </row>
    <row r="21" ht="45.75" customHeight="1" s="14">
      <c r="A21" s="20" t="inlineStr">
        <is>
          <t>A.5.17</t>
        </is>
      </c>
      <c r="B21" s="20" t="inlineStr">
        <is>
          <t>Authentication information</t>
        </is>
      </c>
      <c r="C21" s="20" t="inlineStr">
        <is>
          <t>Organizational</t>
        </is>
      </c>
      <c r="D21" s="21" t="inlineStr">
        <is>
          <t>Yes</t>
        </is>
      </c>
      <c r="E21" s="20" t="inlineStr">
        <is>
          <t>Applicable to cloud-hosted operations; implemented and evidenced through existing ISMS documentation.</t>
        </is>
      </c>
      <c r="F21" s="20" t="inlineStr">
        <is>
          <t>EV-004</t>
        </is>
      </c>
      <c r="G21" s="21" t="inlineStr">
        <is>
          <t>Implemented</t>
        </is>
      </c>
    </row>
    <row r="22" ht="45.75" customHeight="1" s="14">
      <c r="A22" s="20" t="inlineStr">
        <is>
          <t>A.5.18</t>
        </is>
      </c>
      <c r="B22" s="20" t="inlineStr">
        <is>
          <t>Access rights</t>
        </is>
      </c>
      <c r="C22" s="20" t="inlineStr">
        <is>
          <t>Organizational</t>
        </is>
      </c>
      <c r="D22" s="21" t="inlineStr">
        <is>
          <t>Yes</t>
        </is>
      </c>
      <c r="E22" s="20" t="inlineStr">
        <is>
          <t>Applicable to cloud-hosted operations; implemented and evidenced through existing ISMS documentation.</t>
        </is>
      </c>
      <c r="F22" s="20" t="inlineStr">
        <is>
          <t>EV-004, EV-015</t>
        </is>
      </c>
      <c r="G22" s="21" t="inlineStr">
        <is>
          <t>Implemented</t>
        </is>
      </c>
    </row>
    <row r="23" ht="45.75" customHeight="1" s="14">
      <c r="A23" s="20" t="inlineStr">
        <is>
          <t>A.5.19</t>
        </is>
      </c>
      <c r="B23" s="20" t="inlineStr">
        <is>
          <t>Information security in supplier relationships</t>
        </is>
      </c>
      <c r="C23" s="20" t="inlineStr">
        <is>
          <t>Organizational</t>
        </is>
      </c>
      <c r="D23" s="21" t="inlineStr">
        <is>
          <t>Yes</t>
        </is>
      </c>
      <c r="E23" s="20" t="inlineStr">
        <is>
          <t>Applicable to cloud-hosted operations; implemented and evidenced through existing ISMS documentation.</t>
        </is>
      </c>
      <c r="F23" s="20" t="inlineStr">
        <is>
          <t>EV-006</t>
        </is>
      </c>
      <c r="G23" s="21" t="inlineStr">
        <is>
          <t>Implemented</t>
        </is>
      </c>
    </row>
    <row r="24" ht="45.75" customHeight="1" s="14">
      <c r="A24" s="20" t="inlineStr">
        <is>
          <t>A.5.20</t>
        </is>
      </c>
      <c r="B24" s="20" t="inlineStr">
        <is>
          <t>Addressing information security within supplier agreements</t>
        </is>
      </c>
      <c r="C24" s="20" t="inlineStr">
        <is>
          <t>Organizational</t>
        </is>
      </c>
      <c r="D24" s="21" t="inlineStr">
        <is>
          <t>Yes</t>
        </is>
      </c>
      <c r="E24" s="20" t="inlineStr">
        <is>
          <t>Applicable to cloud-hosted operations; implemented and evidenced through existing ISMS documentation.</t>
        </is>
      </c>
      <c r="F24" s="20" t="inlineStr">
        <is>
          <t>EV-006</t>
        </is>
      </c>
      <c r="G24" s="21" t="inlineStr">
        <is>
          <t>Implemented</t>
        </is>
      </c>
    </row>
    <row r="25" ht="45.75" customHeight="1" s="14">
      <c r="A25" s="20" t="inlineStr">
        <is>
          <t>A.5.21</t>
        </is>
      </c>
      <c r="B25" s="20" t="inlineStr">
        <is>
          <t>Managing information security in the ICT supply chain</t>
        </is>
      </c>
      <c r="C25" s="20" t="inlineStr">
        <is>
          <t>Organizational</t>
        </is>
      </c>
      <c r="D25" s="21" t="inlineStr">
        <is>
          <t>Yes</t>
        </is>
      </c>
      <c r="E25" s="20" t="inlineStr">
        <is>
          <t>Applicable to cloud-hosted operations; implemented and evidenced through existing ISMS documentation.</t>
        </is>
      </c>
      <c r="F25" s="20" t="inlineStr">
        <is>
          <t>EV-006</t>
        </is>
      </c>
      <c r="G25" s="21" t="inlineStr">
        <is>
          <t>Implemented</t>
        </is>
      </c>
    </row>
    <row r="26" ht="45.75" customHeight="1" s="14">
      <c r="A26" s="20" t="inlineStr">
        <is>
          <t>A.5.22</t>
        </is>
      </c>
      <c r="B26" s="20" t="inlineStr">
        <is>
          <t>Monitoring, review and change management of supplier services</t>
        </is>
      </c>
      <c r="C26" s="20" t="inlineStr">
        <is>
          <t>Organizational</t>
        </is>
      </c>
      <c r="D26" s="21" t="inlineStr">
        <is>
          <t>Yes</t>
        </is>
      </c>
      <c r="E26" s="20" t="inlineStr">
        <is>
          <t>Applicable to cloud-hosted operations; implemented and evidenced through existing ISMS documentation.</t>
        </is>
      </c>
      <c r="F26" s="20" t="inlineStr">
        <is>
          <t>EV-006, EV-022</t>
        </is>
      </c>
      <c r="G26" s="21" t="inlineStr">
        <is>
          <t>Implemented</t>
        </is>
      </c>
    </row>
    <row r="27" ht="45.75" customHeight="1" s="14">
      <c r="A27" s="20" t="inlineStr">
        <is>
          <t>A.5.23</t>
        </is>
      </c>
      <c r="B27" s="20" t="inlineStr">
        <is>
          <t>Information security for use of cloud services</t>
        </is>
      </c>
      <c r="C27" s="20" t="inlineStr">
        <is>
          <t>Organizational</t>
        </is>
      </c>
      <c r="D27" s="21" t="inlineStr">
        <is>
          <t>Yes</t>
        </is>
      </c>
      <c r="E27" s="20" t="inlineStr">
        <is>
          <t>Applicable to cloud-hosted operations; implemented and evidenced through existing ISMS documentation.</t>
        </is>
      </c>
      <c r="F27" s="20" t="inlineStr">
        <is>
          <t>EV-006, EV-022, EV-023</t>
        </is>
      </c>
      <c r="G27" s="21" t="inlineStr">
        <is>
          <t>Implemented</t>
        </is>
      </c>
    </row>
    <row r="28" ht="45.75" customHeight="1" s="14">
      <c r="A28" s="20" t="inlineStr">
        <is>
          <t>A.5.24</t>
        </is>
      </c>
      <c r="B28" s="20" t="inlineStr">
        <is>
          <t>Information security incident management planning and preparation</t>
        </is>
      </c>
      <c r="C28" s="20" t="inlineStr">
        <is>
          <t>Organizational</t>
        </is>
      </c>
      <c r="D28" s="21" t="inlineStr">
        <is>
          <t>Yes</t>
        </is>
      </c>
      <c r="E28" s="20" t="inlineStr">
        <is>
          <t>Applicable to cloud-hosted operations; implemented and evidenced through existing ISMS documentation.</t>
        </is>
      </c>
      <c r="F28" s="20" t="inlineStr">
        <is>
          <t>EV-002, EV-007</t>
        </is>
      </c>
      <c r="G28" s="21" t="inlineStr">
        <is>
          <t>Implemented</t>
        </is>
      </c>
    </row>
    <row r="29" ht="45.75" customHeight="1" s="14">
      <c r="A29" s="20" t="inlineStr">
        <is>
          <t>A.5.25</t>
        </is>
      </c>
      <c r="B29" s="20" t="inlineStr">
        <is>
          <t>Assessment and decision on information security events</t>
        </is>
      </c>
      <c r="C29" s="20" t="inlineStr">
        <is>
          <t>Organizational</t>
        </is>
      </c>
      <c r="D29" s="21" t="inlineStr">
        <is>
          <t>Yes</t>
        </is>
      </c>
      <c r="E29" s="20" t="inlineStr">
        <is>
          <t>Applicable to cloud-hosted operations; implemented and evidenced through existing ISMS documentation.</t>
        </is>
      </c>
      <c r="F29" s="20" t="inlineStr">
        <is>
          <t>EV-007, EV-021</t>
        </is>
      </c>
      <c r="G29" s="21" t="inlineStr">
        <is>
          <t>Implemented</t>
        </is>
      </c>
    </row>
    <row r="30" ht="45.75" customHeight="1" s="14">
      <c r="A30" s="20" t="inlineStr">
        <is>
          <t>A.5.26</t>
        </is>
      </c>
      <c r="B30" s="20" t="inlineStr">
        <is>
          <t>Response to information security incidents</t>
        </is>
      </c>
      <c r="C30" s="20" t="inlineStr">
        <is>
          <t>Organizational</t>
        </is>
      </c>
      <c r="D30" s="21" t="inlineStr">
        <is>
          <t>Yes</t>
        </is>
      </c>
      <c r="E30" s="20" t="inlineStr">
        <is>
          <t>Applicable to cloud-hosted operations; implemented and evidenced through existing ISMS documentation.</t>
        </is>
      </c>
      <c r="F30" s="20" t="inlineStr">
        <is>
          <t>EV-007, EV-021</t>
        </is>
      </c>
      <c r="G30" s="21" t="inlineStr">
        <is>
          <t>Implemented</t>
        </is>
      </c>
    </row>
    <row r="31" ht="45.75" customHeight="1" s="14">
      <c r="A31" s="20" t="inlineStr">
        <is>
          <t>A.5.27</t>
        </is>
      </c>
      <c r="B31" s="20" t="inlineStr">
        <is>
          <t>Learning from information security incidents</t>
        </is>
      </c>
      <c r="C31" s="20" t="inlineStr">
        <is>
          <t>Organizational</t>
        </is>
      </c>
      <c r="D31" s="21" t="inlineStr">
        <is>
          <t>Yes</t>
        </is>
      </c>
      <c r="E31" s="20" t="inlineStr">
        <is>
          <t>Applicable to cloud-hosted operations; implemented and evidenced through existing ISMS documentation.</t>
        </is>
      </c>
      <c r="F31" s="20" t="inlineStr">
        <is>
          <t>EV-007, EV-021</t>
        </is>
      </c>
      <c r="G31" s="21" t="inlineStr">
        <is>
          <t>Implemented</t>
        </is>
      </c>
    </row>
    <row r="32" ht="45.75" customHeight="1" s="14">
      <c r="A32" s="20" t="inlineStr">
        <is>
          <t>A.5.28</t>
        </is>
      </c>
      <c r="B32" s="20" t="inlineStr">
        <is>
          <t>Collection of evidence</t>
        </is>
      </c>
      <c r="C32" s="20" t="inlineStr">
        <is>
          <t>Organizational</t>
        </is>
      </c>
      <c r="D32" s="21" t="inlineStr">
        <is>
          <t>Yes</t>
        </is>
      </c>
      <c r="E32" s="20" t="inlineStr">
        <is>
          <t>Applicable to cloud-hosted operations; implemented and evidenced through existing ISMS documentation.</t>
        </is>
      </c>
      <c r="F32" s="20" t="inlineStr">
        <is>
          <t>EV-007, EV-028</t>
        </is>
      </c>
      <c r="G32" s="21" t="inlineStr">
        <is>
          <t>Implemented</t>
        </is>
      </c>
    </row>
    <row r="33" ht="45.75" customHeight="1" s="14">
      <c r="A33" s="20" t="inlineStr">
        <is>
          <t>A.5.29</t>
        </is>
      </c>
      <c r="B33" s="20" t="inlineStr">
        <is>
          <t>Information security during disruption</t>
        </is>
      </c>
      <c r="C33" s="20" t="inlineStr">
        <is>
          <t>Organizational</t>
        </is>
      </c>
      <c r="D33" s="21" t="inlineStr">
        <is>
          <t>Yes</t>
        </is>
      </c>
      <c r="E33" s="20" t="inlineStr">
        <is>
          <t>Applicable to cloud-hosted operations; implemented and evidenced through existing ISMS documentation.</t>
        </is>
      </c>
      <c r="F33" s="20" t="inlineStr">
        <is>
          <t>EV-002, EV-008</t>
        </is>
      </c>
      <c r="G33" s="21" t="inlineStr">
        <is>
          <t>Implemented</t>
        </is>
      </c>
    </row>
    <row r="34" ht="45.75" customHeight="1" s="14">
      <c r="A34" s="20" t="inlineStr">
        <is>
          <t>A.5.30</t>
        </is>
      </c>
      <c r="B34" s="20" t="inlineStr">
        <is>
          <t>ICT readiness for business continuity</t>
        </is>
      </c>
      <c r="C34" s="20" t="inlineStr">
        <is>
          <t>Organizational</t>
        </is>
      </c>
      <c r="D34" s="21" t="inlineStr">
        <is>
          <t>Yes</t>
        </is>
      </c>
      <c r="E34" s="20" t="inlineStr">
        <is>
          <t>Applicable to cloud-hosted operations; implemented and evidenced through existing ISMS documentation.</t>
        </is>
      </c>
      <c r="F34" s="20" t="inlineStr">
        <is>
          <t>EV-002, EV-008, EV-012</t>
        </is>
      </c>
      <c r="G34" s="21" t="inlineStr">
        <is>
          <t>Implemented</t>
        </is>
      </c>
    </row>
    <row r="35" ht="45.75" customHeight="1" s="14">
      <c r="A35" s="20" t="inlineStr">
        <is>
          <t>A.5.31</t>
        </is>
      </c>
      <c r="B35" s="20" t="inlineStr">
        <is>
          <t>Legal, statutory, regulatory and contractual requirements</t>
        </is>
      </c>
      <c r="C35" s="20" t="inlineStr">
        <is>
          <t>Organizational</t>
        </is>
      </c>
      <c r="D35" s="21" t="inlineStr">
        <is>
          <t>Yes</t>
        </is>
      </c>
      <c r="E35" s="20" t="inlineStr">
        <is>
          <t>Applicable to cloud-hosted operations; implemented and evidenced through existing ISMS documentation.</t>
        </is>
      </c>
      <c r="F35" s="20" t="inlineStr">
        <is>
          <t>EV-020</t>
        </is>
      </c>
      <c r="G35" s="21" t="inlineStr">
        <is>
          <t>Implemented</t>
        </is>
      </c>
    </row>
    <row r="36" ht="45.75" customHeight="1" s="14">
      <c r="A36" s="20" t="inlineStr">
        <is>
          <t>A.5.32</t>
        </is>
      </c>
      <c r="B36" s="20" t="inlineStr">
        <is>
          <t>Intellectual property rights</t>
        </is>
      </c>
      <c r="C36" s="20" t="inlineStr">
        <is>
          <t>Organizational</t>
        </is>
      </c>
      <c r="D36" s="21" t="inlineStr">
        <is>
          <t>Yes</t>
        </is>
      </c>
      <c r="E36" s="20" t="inlineStr">
        <is>
          <t>Applicable to cloud-hosted operations; implemented and evidenced through existing ISMS documentation.</t>
        </is>
      </c>
      <c r="F36" s="20" t="inlineStr">
        <is>
          <t>EV-020</t>
        </is>
      </c>
      <c r="G36" s="21" t="inlineStr">
        <is>
          <t>Implemented</t>
        </is>
      </c>
    </row>
    <row r="37" ht="45.75" customHeight="1" s="14">
      <c r="A37" s="20" t="inlineStr">
        <is>
          <t>A.5.33</t>
        </is>
      </c>
      <c r="B37" s="20" t="inlineStr">
        <is>
          <t>Protection of records</t>
        </is>
      </c>
      <c r="C37" s="20" t="inlineStr">
        <is>
          <t>Organizational</t>
        </is>
      </c>
      <c r="D37" s="21" t="inlineStr">
        <is>
          <t>Yes</t>
        </is>
      </c>
      <c r="E37" s="20" t="inlineStr">
        <is>
          <t>Applicable to cloud-hosted operations; implemented and evidenced through existing ISMS documentation.</t>
        </is>
      </c>
      <c r="F37" s="20" t="inlineStr">
        <is>
          <t>EV-020</t>
        </is>
      </c>
      <c r="G37" s="21" t="inlineStr">
        <is>
          <t>Implemented</t>
        </is>
      </c>
    </row>
    <row r="38" ht="45.75" customHeight="1" s="14">
      <c r="A38" s="20" t="inlineStr">
        <is>
          <t>A.5.34</t>
        </is>
      </c>
      <c r="B38" s="20" t="inlineStr">
        <is>
          <t>Privacy and protection of PII</t>
        </is>
      </c>
      <c r="C38" s="20" t="inlineStr">
        <is>
          <t>Organizational</t>
        </is>
      </c>
      <c r="D38" s="21" t="inlineStr">
        <is>
          <t>Yes</t>
        </is>
      </c>
      <c r="E38" s="20" t="inlineStr">
        <is>
          <t>Applicable to cloud-hosted operations; implemented and evidenced through existing ISMS documentation.</t>
        </is>
      </c>
      <c r="F38" s="20" t="inlineStr">
        <is>
          <t>EV-020</t>
        </is>
      </c>
      <c r="G38" s="21" t="inlineStr">
        <is>
          <t>Implemented</t>
        </is>
      </c>
    </row>
    <row r="39" ht="45.75" customHeight="1" s="14">
      <c r="A39" s="20" t="inlineStr">
        <is>
          <t>A.5.35</t>
        </is>
      </c>
      <c r="B39" s="20" t="inlineStr">
        <is>
          <t>Independent review of information security</t>
        </is>
      </c>
      <c r="C39" s="20" t="inlineStr">
        <is>
          <t>Organizational</t>
        </is>
      </c>
      <c r="D39" s="21" t="inlineStr">
        <is>
          <t>Yes</t>
        </is>
      </c>
      <c r="E39" s="20" t="inlineStr">
        <is>
          <t>Applicable to cloud-hosted operations; implemented and evidenced through existing ISMS documentation.</t>
        </is>
      </c>
      <c r="F39" s="20" t="inlineStr">
        <is>
          <t>EV-029</t>
        </is>
      </c>
      <c r="G39" s="21" t="inlineStr">
        <is>
          <t>Implemented</t>
        </is>
      </c>
    </row>
    <row r="40" ht="45.75" customHeight="1" s="14">
      <c r="A40" s="20" t="inlineStr">
        <is>
          <t>A.5.36</t>
        </is>
      </c>
      <c r="B40" s="20" t="inlineStr">
        <is>
          <t>Compliance with policies, rules and standards for information security</t>
        </is>
      </c>
      <c r="C40" s="20" t="inlineStr">
        <is>
          <t>Organizational</t>
        </is>
      </c>
      <c r="D40" s="21" t="inlineStr">
        <is>
          <t>Yes</t>
        </is>
      </c>
      <c r="E40" s="20" t="inlineStr">
        <is>
          <t>Applicable to cloud-hosted operations; implemented and evidenced through existing ISMS documentation.</t>
        </is>
      </c>
      <c r="F40" s="20" t="inlineStr">
        <is>
          <t>EV-001, EV-030</t>
        </is>
      </c>
      <c r="G40" s="21" t="inlineStr">
        <is>
          <t>Implemented</t>
        </is>
      </c>
    </row>
    <row r="41" ht="45.75" customHeight="1" s="14">
      <c r="A41" s="20" t="inlineStr">
        <is>
          <t>A.5.37</t>
        </is>
      </c>
      <c r="B41" s="20" t="inlineStr">
        <is>
          <t>Documented operating procedures</t>
        </is>
      </c>
      <c r="C41" s="20" t="inlineStr">
        <is>
          <t>Organizational</t>
        </is>
      </c>
      <c r="D41" s="21" t="inlineStr">
        <is>
          <t>Yes</t>
        </is>
      </c>
      <c r="E41" s="20" t="inlineStr">
        <is>
          <t>Applicable to cloud-hosted operations; implemented and evidenced through existing ISMS documentation.</t>
        </is>
      </c>
      <c r="F41" s="20" t="inlineStr">
        <is>
          <t>EV-031</t>
        </is>
      </c>
      <c r="G41" s="21" t="inlineStr">
        <is>
          <t>Implemented</t>
        </is>
      </c>
    </row>
    <row r="42" ht="45.75" customHeight="1" s="14">
      <c r="A42" s="20" t="inlineStr">
        <is>
          <t>A.6.1</t>
        </is>
      </c>
      <c r="B42" s="20" t="inlineStr">
        <is>
          <t>Screening</t>
        </is>
      </c>
      <c r="C42" s="20" t="inlineStr">
        <is>
          <t>People</t>
        </is>
      </c>
      <c r="D42" s="21" t="inlineStr">
        <is>
          <t>Yes</t>
        </is>
      </c>
      <c r="E42" s="20" t="inlineStr">
        <is>
          <t>Applicable to cloud-hosted operations; implemented and evidenced through existing ISMS documentation.</t>
        </is>
      </c>
      <c r="F42" s="20" t="inlineStr">
        <is>
          <t>EV-018</t>
        </is>
      </c>
      <c r="G42" s="21" t="inlineStr">
        <is>
          <t>Implemented</t>
        </is>
      </c>
    </row>
    <row r="43" ht="45.75" customHeight="1" s="14">
      <c r="A43" s="20" t="inlineStr">
        <is>
          <t>A.6.2</t>
        </is>
      </c>
      <c r="B43" s="20" t="inlineStr">
        <is>
          <t>Terms and conditions of employment</t>
        </is>
      </c>
      <c r="C43" s="20" t="inlineStr">
        <is>
          <t>People</t>
        </is>
      </c>
      <c r="D43" s="21" t="inlineStr">
        <is>
          <t>Yes</t>
        </is>
      </c>
      <c r="E43" s="20" t="inlineStr">
        <is>
          <t>Applicable to cloud-hosted operations; implemented and evidenced through existing ISMS documentation.</t>
        </is>
      </c>
      <c r="F43" s="20" t="inlineStr">
        <is>
          <t>EV-015</t>
        </is>
      </c>
      <c r="G43" s="21" t="inlineStr">
        <is>
          <t>Implemented</t>
        </is>
      </c>
    </row>
    <row r="44" ht="45.75" customHeight="1" s="14">
      <c r="A44" s="20" t="inlineStr">
        <is>
          <t>A.6.3</t>
        </is>
      </c>
      <c r="B44" s="20" t="inlineStr">
        <is>
          <t>Information security awareness, education and training</t>
        </is>
      </c>
      <c r="C44" s="20" t="inlineStr">
        <is>
          <t>People</t>
        </is>
      </c>
      <c r="D44" s="21" t="inlineStr">
        <is>
          <t>Yes</t>
        </is>
      </c>
      <c r="E44" s="20" t="inlineStr">
        <is>
          <t>Applicable to cloud-hosted operations; implemented and evidenced through existing ISMS documentation.</t>
        </is>
      </c>
      <c r="F44" s="20" t="inlineStr">
        <is>
          <t>EV-016</t>
        </is>
      </c>
      <c r="G44" s="21" t="inlineStr">
        <is>
          <t>Implemented</t>
        </is>
      </c>
    </row>
    <row r="45" ht="45.75" customHeight="1" s="14">
      <c r="A45" s="20" t="inlineStr">
        <is>
          <t>A.6.4</t>
        </is>
      </c>
      <c r="B45" s="20" t="inlineStr">
        <is>
          <t>Disciplinary process</t>
        </is>
      </c>
      <c r="C45" s="20" t="inlineStr">
        <is>
          <t>People</t>
        </is>
      </c>
      <c r="D45" s="21" t="inlineStr">
        <is>
          <t>Yes</t>
        </is>
      </c>
      <c r="E45" s="20" t="inlineStr">
        <is>
          <t>Applicable to cloud-hosted operations; implemented and evidenced through existing ISMS documentation.</t>
        </is>
      </c>
      <c r="F45" s="20" t="inlineStr">
        <is>
          <t>EV-019</t>
        </is>
      </c>
      <c r="G45" s="21" t="inlineStr">
        <is>
          <t>Implemented</t>
        </is>
      </c>
    </row>
    <row r="46" ht="45.75" customHeight="1" s="14">
      <c r="A46" s="20" t="inlineStr">
        <is>
          <t>A.6.5</t>
        </is>
      </c>
      <c r="B46" s="20" t="inlineStr">
        <is>
          <t>Responsibilities after termination or change of employment</t>
        </is>
      </c>
      <c r="C46" s="20" t="inlineStr">
        <is>
          <t>People</t>
        </is>
      </c>
      <c r="D46" s="21" t="inlineStr">
        <is>
          <t>Yes</t>
        </is>
      </c>
      <c r="E46" s="20" t="inlineStr">
        <is>
          <t>Applicable to cloud-hosted operations; implemented and evidenced through existing ISMS documentation.</t>
        </is>
      </c>
      <c r="F46" s="20" t="inlineStr">
        <is>
          <t>EV-015</t>
        </is>
      </c>
      <c r="G46" s="21" t="inlineStr">
        <is>
          <t>Implemented</t>
        </is>
      </c>
    </row>
    <row r="47" ht="45.75" customHeight="1" s="14">
      <c r="A47" s="20" t="inlineStr">
        <is>
          <t>A.6.6</t>
        </is>
      </c>
      <c r="B47" s="20" t="inlineStr">
        <is>
          <t>Confidentiality or non-disclosure agreements</t>
        </is>
      </c>
      <c r="C47" s="20" t="inlineStr">
        <is>
          <t>People</t>
        </is>
      </c>
      <c r="D47" s="21" t="inlineStr">
        <is>
          <t>Yes</t>
        </is>
      </c>
      <c r="E47" s="20" t="inlineStr">
        <is>
          <t>Applicable to cloud-hosted operations; implemented and evidenced through existing ISMS documentation.</t>
        </is>
      </c>
      <c r="F47" s="20" t="inlineStr">
        <is>
          <t>EV-017</t>
        </is>
      </c>
      <c r="G47" s="21" t="inlineStr">
        <is>
          <t>Implemented</t>
        </is>
      </c>
    </row>
    <row r="48" ht="45.75" customHeight="1" s="14">
      <c r="A48" s="20" t="inlineStr">
        <is>
          <t>A.6.7</t>
        </is>
      </c>
      <c r="B48" s="20" t="inlineStr">
        <is>
          <t>Remote working</t>
        </is>
      </c>
      <c r="C48" s="20" t="inlineStr">
        <is>
          <t>People</t>
        </is>
      </c>
      <c r="D48" s="21" t="inlineStr">
        <is>
          <t>Yes</t>
        </is>
      </c>
      <c r="E48" s="20" t="inlineStr">
        <is>
          <t>Applicable to cloud-hosted operations; implemented and evidenced through existing ISMS documentation.</t>
        </is>
      </c>
      <c r="F48" s="20" t="inlineStr">
        <is>
          <t>EV-005</t>
        </is>
      </c>
      <c r="G48" s="21" t="inlineStr">
        <is>
          <t>Implemented</t>
        </is>
      </c>
    </row>
    <row r="49" ht="45.75" customHeight="1" s="14">
      <c r="A49" s="20" t="inlineStr">
        <is>
          <t>A.6.8</t>
        </is>
      </c>
      <c r="B49" s="20" t="inlineStr">
        <is>
          <t>Information security event reporting</t>
        </is>
      </c>
      <c r="C49" s="20" t="inlineStr">
        <is>
          <t>People</t>
        </is>
      </c>
      <c r="D49" s="21" t="inlineStr">
        <is>
          <t>Yes</t>
        </is>
      </c>
      <c r="E49" s="20" t="inlineStr">
        <is>
          <t>Applicable to cloud-hosted operations; implemented and evidenced through existing ISMS documentation.</t>
        </is>
      </c>
      <c r="F49" s="20" t="inlineStr">
        <is>
          <t>EV-007, EV-021</t>
        </is>
      </c>
      <c r="G49" s="21" t="inlineStr">
        <is>
          <t>Implemented</t>
        </is>
      </c>
    </row>
    <row r="50" ht="45.75" customHeight="1" s="14">
      <c r="A50" s="20" t="inlineStr">
        <is>
          <t>A.7.1</t>
        </is>
      </c>
      <c r="B50" s="20" t="inlineStr">
        <is>
          <t>Physical security perimeters</t>
        </is>
      </c>
      <c r="C50" s="20" t="inlineStr">
        <is>
          <t>Physical</t>
        </is>
      </c>
      <c r="D50" s="23" t="inlineStr">
        <is>
          <t>No</t>
        </is>
      </c>
      <c r="E50" s="20" t="inlineStr">
        <is>
          <t>Not applicable. The organization is cloud-native and does not own, lease, or operate physical office or data center premises requiring a defined security perimeter.</t>
        </is>
      </c>
      <c r="F50" s="20" t="inlineStr">
        <is>
          <t>—</t>
        </is>
      </c>
      <c r="G50" s="23" t="inlineStr">
        <is>
          <t>N/A</t>
        </is>
      </c>
    </row>
    <row r="51" ht="45.75" customHeight="1" s="14">
      <c r="A51" s="20" t="inlineStr">
        <is>
          <t>A.7.2</t>
        </is>
      </c>
      <c r="B51" s="20" t="inlineStr">
        <is>
          <t>Physical entry</t>
        </is>
      </c>
      <c r="C51" s="20" t="inlineStr">
        <is>
          <t>Physical</t>
        </is>
      </c>
      <c r="D51" s="23" t="inlineStr">
        <is>
          <t>No</t>
        </is>
      </c>
      <c r="E51" s="20" t="inlineStr">
        <is>
          <t>Not applicable. No company-controlled premises with physical entry points exist; all infrastructure is hosted with AWS under its shared-responsibility model.</t>
        </is>
      </c>
      <c r="F51" s="20" t="inlineStr">
        <is>
          <t>—</t>
        </is>
      </c>
      <c r="G51" s="23" t="inlineStr">
        <is>
          <t>N/A</t>
        </is>
      </c>
    </row>
    <row r="52" ht="45.75" customHeight="1" s="14">
      <c r="A52" s="20" t="inlineStr">
        <is>
          <t>A.7.3</t>
        </is>
      </c>
      <c r="B52" s="20" t="inlineStr">
        <is>
          <t>Securing offices, rooms and facilities</t>
        </is>
      </c>
      <c r="C52" s="20" t="inlineStr">
        <is>
          <t>Physical</t>
        </is>
      </c>
      <c r="D52" s="23" t="inlineStr">
        <is>
          <t>No</t>
        </is>
      </c>
      <c r="E52" s="20" t="inlineStr">
        <is>
          <t>Not applicable. The organization has no owned or leased office, room, or facility to secure; staff work remotely.</t>
        </is>
      </c>
      <c r="F52" s="20" t="inlineStr">
        <is>
          <t>—</t>
        </is>
      </c>
      <c r="G52" s="23" t="inlineStr">
        <is>
          <t>N/A</t>
        </is>
      </c>
    </row>
    <row r="53" ht="45.75" customHeight="1" s="14">
      <c r="A53" s="20" t="inlineStr">
        <is>
          <t>A.7.4</t>
        </is>
      </c>
      <c r="B53" s="20" t="inlineStr">
        <is>
          <t>Physical security monitoring</t>
        </is>
      </c>
      <c r="C53" s="20" t="inlineStr">
        <is>
          <t>Physical</t>
        </is>
      </c>
      <c r="D53" s="23" t="inlineStr">
        <is>
          <t>No</t>
        </is>
      </c>
      <c r="E53" s="20" t="inlineStr">
        <is>
          <t>Not applicable. No company premises exist to monitor for physical intrusion; physical monitoring of the underlying cloud data centers is AWS's responsibility.</t>
        </is>
      </c>
      <c r="F53" s="20" t="inlineStr">
        <is>
          <t>—</t>
        </is>
      </c>
      <c r="G53" s="23" t="inlineStr">
        <is>
          <t>N/A</t>
        </is>
      </c>
    </row>
    <row r="54" ht="45.75" customHeight="1" s="14">
      <c r="A54" s="20" t="inlineStr">
        <is>
          <t>A.7.5</t>
        </is>
      </c>
      <c r="B54" s="20" t="inlineStr">
        <is>
          <t>Protecting against physical and environmental threats</t>
        </is>
      </c>
      <c r="C54" s="20" t="inlineStr">
        <is>
          <t>Physical</t>
        </is>
      </c>
      <c r="D54" s="23" t="inlineStr">
        <is>
          <t>No</t>
        </is>
      </c>
      <c r="E54" s="20" t="inlineStr">
        <is>
          <t>Not applicable. Protection against environmental threats (fire, flood, power) to processing infrastructure is AWS's responsibility as the cloud provider, covered under supplier due diligence (A.5.19–A.5.23).</t>
        </is>
      </c>
      <c r="F54" s="20" t="inlineStr">
        <is>
          <t>—</t>
        </is>
      </c>
      <c r="G54" s="23" t="inlineStr">
        <is>
          <t>N/A</t>
        </is>
      </c>
    </row>
    <row r="55" ht="45.75" customHeight="1" s="14">
      <c r="A55" s="20" t="inlineStr">
        <is>
          <t>A.7.6</t>
        </is>
      </c>
      <c r="B55" s="20" t="inlineStr">
        <is>
          <t>Working in secure areas</t>
        </is>
      </c>
      <c r="C55" s="20" t="inlineStr">
        <is>
          <t>Physical</t>
        </is>
      </c>
      <c r="D55" s="23" t="inlineStr">
        <is>
          <t>No</t>
        </is>
      </c>
      <c r="E55" s="20" t="inlineStr">
        <is>
          <t>Not applicable. No secure physical work areas are operated by the organization.</t>
        </is>
      </c>
      <c r="F55" s="20" t="inlineStr">
        <is>
          <t>—</t>
        </is>
      </c>
      <c r="G55" s="23" t="inlineStr">
        <is>
          <t>N/A</t>
        </is>
      </c>
    </row>
    <row r="56" ht="45.75" customHeight="1" s="14">
      <c r="A56" s="20" t="inlineStr">
        <is>
          <t>A.7.7</t>
        </is>
      </c>
      <c r="B56" s="20" t="inlineStr">
        <is>
          <t>Clear desk and clear screen</t>
        </is>
      </c>
      <c r="C56" s="20" t="inlineStr">
        <is>
          <t>Physical</t>
        </is>
      </c>
      <c r="D56" s="21" t="inlineStr">
        <is>
          <t>Yes</t>
        </is>
      </c>
      <c r="E56" s="20" t="inlineStr">
        <is>
          <t>Applicable to cloud-hosted operations; implemented and evidenced through existing ISMS documentation.</t>
        </is>
      </c>
      <c r="F56" s="20" t="inlineStr">
        <is>
          <t>EV-005</t>
        </is>
      </c>
      <c r="G56" s="21" t="inlineStr">
        <is>
          <t>Implemented</t>
        </is>
      </c>
    </row>
    <row r="57" ht="45.75" customHeight="1" s="14">
      <c r="A57" s="20" t="inlineStr">
        <is>
          <t>A.7.8</t>
        </is>
      </c>
      <c r="B57" s="20" t="inlineStr">
        <is>
          <t>Equipment siting and protection</t>
        </is>
      </c>
      <c r="C57" s="20" t="inlineStr">
        <is>
          <t>Physical</t>
        </is>
      </c>
      <c r="D57" s="23" t="inlineStr">
        <is>
          <t>No</t>
        </is>
      </c>
      <c r="E57" s="20" t="inlineStr">
        <is>
          <t>Not applicable. The organization does not site or physically operate its own processing equipment; compute is entirely cloud-hosted.</t>
        </is>
      </c>
      <c r="F57" s="20" t="inlineStr">
        <is>
          <t>—</t>
        </is>
      </c>
      <c r="G57" s="23" t="inlineStr">
        <is>
          <t>N/A</t>
        </is>
      </c>
    </row>
    <row r="58" ht="45.75" customHeight="1" s="14">
      <c r="A58" s="20" t="inlineStr">
        <is>
          <t>A.7.9</t>
        </is>
      </c>
      <c r="B58" s="20" t="inlineStr">
        <is>
          <t>Security of assets off-premises</t>
        </is>
      </c>
      <c r="C58" s="20" t="inlineStr">
        <is>
          <t>Physical</t>
        </is>
      </c>
      <c r="D58" s="21" t="inlineStr">
        <is>
          <t>Yes</t>
        </is>
      </c>
      <c r="E58" s="20" t="inlineStr">
        <is>
          <t>Applicable to cloud-hosted operations; implemented and evidenced through existing ISMS documentation.</t>
        </is>
      </c>
      <c r="F58" s="20" t="inlineStr">
        <is>
          <t>EV-003, EV-005</t>
        </is>
      </c>
      <c r="G58" s="21" t="inlineStr">
        <is>
          <t>Implemented</t>
        </is>
      </c>
    </row>
    <row r="59" ht="45.75" customHeight="1" s="14">
      <c r="A59" s="20" t="inlineStr">
        <is>
          <t>A.7.10</t>
        </is>
      </c>
      <c r="B59" s="20" t="inlineStr">
        <is>
          <t>Storage media</t>
        </is>
      </c>
      <c r="C59" s="20" t="inlineStr">
        <is>
          <t>Physical</t>
        </is>
      </c>
      <c r="D59" s="21" t="inlineStr">
        <is>
          <t>Yes</t>
        </is>
      </c>
      <c r="E59" s="20" t="inlineStr">
        <is>
          <t>Applicable. Employee laptops hold local storage and may use removable media. Partially covered by the Data Classification &amp; Handling Standard and Endpoint Security Standard, but no dedicated storage-media handling procedure exists.</t>
        </is>
      </c>
      <c r="F59" s="20" t="inlineStr">
        <is>
          <t>—</t>
        </is>
      </c>
      <c r="G59" s="22" t="inlineStr">
        <is>
          <t>Partial — covered indirectly by EV-014, EV-027</t>
        </is>
      </c>
    </row>
    <row r="60" ht="45.75" customHeight="1" s="14">
      <c r="A60" s="20" t="inlineStr">
        <is>
          <t>A.7.11</t>
        </is>
      </c>
      <c r="B60" s="20" t="inlineStr">
        <is>
          <t>Supporting utilities</t>
        </is>
      </c>
      <c r="C60" s="20" t="inlineStr">
        <is>
          <t>Physical</t>
        </is>
      </c>
      <c r="D60" s="23" t="inlineStr">
        <is>
          <t>No</t>
        </is>
      </c>
      <c r="E60" s="20" t="inlineStr">
        <is>
          <t>Not applicable. Power, cooling, and other supporting utilities for processing infrastructure are AWS's responsibility, not the organization's.</t>
        </is>
      </c>
      <c r="F60" s="20" t="inlineStr">
        <is>
          <t>—</t>
        </is>
      </c>
      <c r="G60" s="23" t="inlineStr">
        <is>
          <t>N/A</t>
        </is>
      </c>
    </row>
    <row r="61" ht="45.75" customHeight="1" s="14">
      <c r="A61" s="20" t="inlineStr">
        <is>
          <t>A.7.12</t>
        </is>
      </c>
      <c r="B61" s="20" t="inlineStr">
        <is>
          <t>Cabling security</t>
        </is>
      </c>
      <c r="C61" s="20" t="inlineStr">
        <is>
          <t>Physical</t>
        </is>
      </c>
      <c r="D61" s="23" t="inlineStr">
        <is>
          <t>No</t>
        </is>
      </c>
      <c r="E61" s="20" t="inlineStr">
        <is>
          <t>Not applicable. The organization owns no cabling infrastructure; all systems are cloud-hosted.</t>
        </is>
      </c>
      <c r="F61" s="20" t="inlineStr">
        <is>
          <t>—</t>
        </is>
      </c>
      <c r="G61" s="23" t="inlineStr">
        <is>
          <t>N/A</t>
        </is>
      </c>
    </row>
    <row r="62" ht="45.75" customHeight="1" s="14">
      <c r="A62" s="20" t="inlineStr">
        <is>
          <t>A.7.13</t>
        </is>
      </c>
      <c r="B62" s="20" t="inlineStr">
        <is>
          <t>Equipment maintenance</t>
        </is>
      </c>
      <c r="C62" s="20" t="inlineStr">
        <is>
          <t>Physical</t>
        </is>
      </c>
      <c r="D62" s="21" t="inlineStr">
        <is>
          <t>Yes</t>
        </is>
      </c>
      <c r="E62" s="20" t="inlineStr">
        <is>
          <t>Applicable to company-issued endpoint hardware. Currently handled informally by IT support as part of asset lifecycle management; not governed by a documented maintenance procedure.</t>
        </is>
      </c>
      <c r="F62" s="20" t="inlineStr">
        <is>
          <t>—</t>
        </is>
      </c>
      <c r="G62" s="22" t="inlineStr">
        <is>
          <t>Gap — informal, not documented</t>
        </is>
      </c>
    </row>
    <row r="63" ht="45.75" customHeight="1" s="14">
      <c r="A63" s="20" t="inlineStr">
        <is>
          <t>A.7.14</t>
        </is>
      </c>
      <c r="B63" s="20" t="inlineStr">
        <is>
          <t>Secure disposal or re-use of equipment</t>
        </is>
      </c>
      <c r="C63" s="20" t="inlineStr">
        <is>
          <t>Physical</t>
        </is>
      </c>
      <c r="D63" s="21" t="inlineStr">
        <is>
          <t>Yes</t>
        </is>
      </c>
      <c r="E63" s="20" t="inlineStr">
        <is>
          <t>Applicable to cloud-hosted operations; implemented and evidenced through existing ISMS documentation.</t>
        </is>
      </c>
      <c r="F63" s="20" t="inlineStr">
        <is>
          <t>EV-003</t>
        </is>
      </c>
      <c r="G63" s="21" t="inlineStr">
        <is>
          <t>Implemented</t>
        </is>
      </c>
    </row>
    <row r="64" ht="45.75" customHeight="1" s="14">
      <c r="A64" s="20" t="inlineStr">
        <is>
          <t>A.8.1</t>
        </is>
      </c>
      <c r="B64" s="20" t="inlineStr">
        <is>
          <t>User endpoint devices</t>
        </is>
      </c>
      <c r="C64" s="20" t="inlineStr">
        <is>
          <t>Technological</t>
        </is>
      </c>
      <c r="D64" s="21" t="inlineStr">
        <is>
          <t>Yes</t>
        </is>
      </c>
      <c r="E64" s="20" t="inlineStr">
        <is>
          <t>Applicable to cloud-hosted operations; implemented and evidenced through existing ISMS documentation.</t>
        </is>
      </c>
      <c r="F64" s="20" t="inlineStr">
        <is>
          <t>EV-003, EV-005, EV-026, EV-027</t>
        </is>
      </c>
      <c r="G64" s="21" t="inlineStr">
        <is>
          <t>Implemented</t>
        </is>
      </c>
    </row>
    <row r="65" ht="45.75" customHeight="1" s="14">
      <c r="A65" s="20" t="inlineStr">
        <is>
          <t>A.8.2</t>
        </is>
      </c>
      <c r="B65" s="20" t="inlineStr">
        <is>
          <t>Privileged access rights</t>
        </is>
      </c>
      <c r="C65" s="20" t="inlineStr">
        <is>
          <t>Technological</t>
        </is>
      </c>
      <c r="D65" s="21" t="inlineStr">
        <is>
          <t>Yes</t>
        </is>
      </c>
      <c r="E65" s="20" t="inlineStr">
        <is>
          <t>Applicable to cloud-hosted operations; implemented and evidenced through existing ISMS documentation.</t>
        </is>
      </c>
      <c r="F65" s="20" t="inlineStr">
        <is>
          <t>EV-004, EV-024</t>
        </is>
      </c>
      <c r="G65" s="21" t="inlineStr">
        <is>
          <t>Implemented</t>
        </is>
      </c>
    </row>
    <row r="66" ht="45.75" customHeight="1" s="14">
      <c r="A66" s="20" t="inlineStr">
        <is>
          <t>A.8.3</t>
        </is>
      </c>
      <c r="B66" s="20" t="inlineStr">
        <is>
          <t>Information access restriction</t>
        </is>
      </c>
      <c r="C66" s="20" t="inlineStr">
        <is>
          <t>Technological</t>
        </is>
      </c>
      <c r="D66" s="21" t="inlineStr">
        <is>
          <t>Yes</t>
        </is>
      </c>
      <c r="E66" s="20" t="inlineStr">
        <is>
          <t>Applicable to cloud-hosted operations; implemented and evidenced through existing ISMS documentation.</t>
        </is>
      </c>
      <c r="F66" s="20" t="inlineStr">
        <is>
          <t>EV-004, EV-014, EV-024</t>
        </is>
      </c>
      <c r="G66" s="21" t="inlineStr">
        <is>
          <t>Implemented</t>
        </is>
      </c>
    </row>
    <row r="67" ht="45.75" customHeight="1" s="14">
      <c r="A67" s="20" t="inlineStr">
        <is>
          <t>A.8.4</t>
        </is>
      </c>
      <c r="B67" s="20" t="inlineStr">
        <is>
          <t>Access to source code</t>
        </is>
      </c>
      <c r="C67" s="20" t="inlineStr">
        <is>
          <t>Technological</t>
        </is>
      </c>
      <c r="D67" s="21" t="inlineStr">
        <is>
          <t>Yes</t>
        </is>
      </c>
      <c r="E67" s="20" t="inlineStr">
        <is>
          <t>Applicable to cloud-hosted operations; implemented and evidenced through existing ISMS documentation.</t>
        </is>
      </c>
      <c r="F67" s="20" t="inlineStr">
        <is>
          <t>EV-010</t>
        </is>
      </c>
      <c r="G67" s="21" t="inlineStr">
        <is>
          <t>Implemented</t>
        </is>
      </c>
    </row>
    <row r="68" ht="45.75" customHeight="1" s="14">
      <c r="A68" s="20" t="inlineStr">
        <is>
          <t>A.8.5</t>
        </is>
      </c>
      <c r="B68" s="20" t="inlineStr">
        <is>
          <t>Secure authentication</t>
        </is>
      </c>
      <c r="C68" s="20" t="inlineStr">
        <is>
          <t>Technological</t>
        </is>
      </c>
      <c r="D68" s="21" t="inlineStr">
        <is>
          <t>Yes</t>
        </is>
      </c>
      <c r="E68" s="20" t="inlineStr">
        <is>
          <t>Applicable to cloud-hosted operations; implemented and evidenced through existing ISMS documentation.</t>
        </is>
      </c>
      <c r="F68" s="20" t="inlineStr">
        <is>
          <t>EV-004</t>
        </is>
      </c>
      <c r="G68" s="21" t="inlineStr">
        <is>
          <t>Implemented</t>
        </is>
      </c>
    </row>
    <row r="69" ht="45.75" customHeight="1" s="14">
      <c r="A69" s="20" t="inlineStr">
        <is>
          <t>A.8.6</t>
        </is>
      </c>
      <c r="B69" s="20" t="inlineStr">
        <is>
          <t>Capacity management</t>
        </is>
      </c>
      <c r="C69" s="20" t="inlineStr">
        <is>
          <t>Technological</t>
        </is>
      </c>
      <c r="D69" s="21" t="inlineStr">
        <is>
          <t>Yes</t>
        </is>
      </c>
      <c r="E69" s="20" t="inlineStr">
        <is>
          <t>Applicable to cloud-hosted operations; implemented and evidenced through existing ISMS documentation.</t>
        </is>
      </c>
      <c r="F69" s="20" t="inlineStr">
        <is>
          <t>EV-008</t>
        </is>
      </c>
      <c r="G69" s="21" t="inlineStr">
        <is>
          <t>Implemented</t>
        </is>
      </c>
    </row>
    <row r="70" ht="45.75" customHeight="1" s="14">
      <c r="A70" s="20" t="inlineStr">
        <is>
          <t>A.8.7</t>
        </is>
      </c>
      <c r="B70" s="20" t="inlineStr">
        <is>
          <t>Protection against malware</t>
        </is>
      </c>
      <c r="C70" s="20" t="inlineStr">
        <is>
          <t>Technological</t>
        </is>
      </c>
      <c r="D70" s="21" t="inlineStr">
        <is>
          <t>Yes</t>
        </is>
      </c>
      <c r="E70" s="20" t="inlineStr">
        <is>
          <t>Applicable to cloud-hosted operations; implemented and evidenced through existing ISMS documentation.</t>
        </is>
      </c>
      <c r="F70" s="20" t="inlineStr">
        <is>
          <t>EV-027</t>
        </is>
      </c>
      <c r="G70" s="21" t="inlineStr">
        <is>
          <t>Implemented</t>
        </is>
      </c>
    </row>
    <row r="71" ht="45.75" customHeight="1" s="14">
      <c r="A71" s="20" t="inlineStr">
        <is>
          <t>A.8.8</t>
        </is>
      </c>
      <c r="B71" s="20" t="inlineStr">
        <is>
          <t>Management of technical vulnerabilities</t>
        </is>
      </c>
      <c r="C71" s="20" t="inlineStr">
        <is>
          <t>Technological</t>
        </is>
      </c>
      <c r="D71" s="21" t="inlineStr">
        <is>
          <t>Yes</t>
        </is>
      </c>
      <c r="E71" s="20" t="inlineStr">
        <is>
          <t>Applicable to cloud-hosted operations; implemented and evidenced through existing ISMS documentation.</t>
        </is>
      </c>
      <c r="F71" s="20" t="inlineStr">
        <is>
          <t>EV-009</t>
        </is>
      </c>
      <c r="G71" s="21" t="inlineStr">
        <is>
          <t>Implemented</t>
        </is>
      </c>
    </row>
    <row r="72" ht="45.75" customHeight="1" s="14">
      <c r="A72" s="20" t="inlineStr">
        <is>
          <t>A.8.9</t>
        </is>
      </c>
      <c r="B72" s="20" t="inlineStr">
        <is>
          <t>Configuration management</t>
        </is>
      </c>
      <c r="C72" s="20" t="inlineStr">
        <is>
          <t>Technological</t>
        </is>
      </c>
      <c r="D72" s="21" t="inlineStr">
        <is>
          <t>Yes</t>
        </is>
      </c>
      <c r="E72" s="20" t="inlineStr">
        <is>
          <t>Applicable to cloud-hosted operations; implemented and evidenced through existing ISMS documentation.</t>
        </is>
      </c>
      <c r="F72" s="20" t="inlineStr">
        <is>
          <t>EV-009, EV-023</t>
        </is>
      </c>
      <c r="G72" s="21" t="inlineStr">
        <is>
          <t>Implemented</t>
        </is>
      </c>
    </row>
    <row r="73" ht="45.75" customHeight="1" s="14">
      <c r="A73" s="20" t="inlineStr">
        <is>
          <t>A.8.10</t>
        </is>
      </c>
      <c r="B73" s="20" t="inlineStr">
        <is>
          <t>Information deletion</t>
        </is>
      </c>
      <c r="C73" s="20" t="inlineStr">
        <is>
          <t>Technological</t>
        </is>
      </c>
      <c r="D73" s="21" t="inlineStr">
        <is>
          <t>Yes</t>
        </is>
      </c>
      <c r="E73" s="20" t="inlineStr">
        <is>
          <t>Applicable to cloud-hosted operations; implemented and evidenced through existing ISMS documentation.</t>
        </is>
      </c>
      <c r="F73" s="20" t="inlineStr">
        <is>
          <t>EV-014</t>
        </is>
      </c>
      <c r="G73" s="21" t="inlineStr">
        <is>
          <t>Implemented</t>
        </is>
      </c>
    </row>
    <row r="74" ht="45.75" customHeight="1" s="14">
      <c r="A74" s="20" t="inlineStr">
        <is>
          <t>A.8.11</t>
        </is>
      </c>
      <c r="B74" s="20" t="inlineStr">
        <is>
          <t>Data masking</t>
        </is>
      </c>
      <c r="C74" s="20" t="inlineStr">
        <is>
          <t>Technological</t>
        </is>
      </c>
      <c r="D74" s="21" t="inlineStr">
        <is>
          <t>Yes</t>
        </is>
      </c>
      <c r="E74" s="20" t="inlineStr">
        <is>
          <t>Applicable to cloud-hosted operations; implemented and evidenced through existing ISMS documentation.</t>
        </is>
      </c>
      <c r="F74" s="20" t="inlineStr">
        <is>
          <t>EV-014</t>
        </is>
      </c>
      <c r="G74" s="21" t="inlineStr">
        <is>
          <t>Implemented</t>
        </is>
      </c>
    </row>
    <row r="75" ht="45.75" customHeight="1" s="14">
      <c r="A75" s="20" t="inlineStr">
        <is>
          <t>A.8.12</t>
        </is>
      </c>
      <c r="B75" s="20" t="inlineStr">
        <is>
          <t>Data leakage prevention</t>
        </is>
      </c>
      <c r="C75" s="20" t="inlineStr">
        <is>
          <t>Technological</t>
        </is>
      </c>
      <c r="D75" s="21" t="inlineStr">
        <is>
          <t>Yes</t>
        </is>
      </c>
      <c r="E75" s="20" t="inlineStr">
        <is>
          <t>Applicable to cloud-hosted operations; implemented and evidenced through existing ISMS documentation.</t>
        </is>
      </c>
      <c r="F75" s="20" t="inlineStr">
        <is>
          <t>EV-014</t>
        </is>
      </c>
      <c r="G75" s="21" t="inlineStr">
        <is>
          <t>Implemented</t>
        </is>
      </c>
    </row>
    <row r="76" ht="45.75" customHeight="1" s="14">
      <c r="A76" s="20" t="inlineStr">
        <is>
          <t>A.8.13</t>
        </is>
      </c>
      <c r="B76" s="20" t="inlineStr">
        <is>
          <t>Information backup</t>
        </is>
      </c>
      <c r="C76" s="20" t="inlineStr">
        <is>
          <t>Technological</t>
        </is>
      </c>
      <c r="D76" s="21" t="inlineStr">
        <is>
          <t>Yes</t>
        </is>
      </c>
      <c r="E76" s="20" t="inlineStr">
        <is>
          <t>Applicable to cloud-hosted operations; implemented and evidenced through existing ISMS documentation.</t>
        </is>
      </c>
      <c r="F76" s="20" t="inlineStr">
        <is>
          <t>EV-008, EV-012</t>
        </is>
      </c>
      <c r="G76" s="21" t="inlineStr">
        <is>
          <t>Implemented</t>
        </is>
      </c>
    </row>
    <row r="77" ht="45.75" customHeight="1" s="14">
      <c r="A77" s="20" t="inlineStr">
        <is>
          <t>A.8.14</t>
        </is>
      </c>
      <c r="B77" s="20" t="inlineStr">
        <is>
          <t>Redundancy of information processing facilities</t>
        </is>
      </c>
      <c r="C77" s="20" t="inlineStr">
        <is>
          <t>Technological</t>
        </is>
      </c>
      <c r="D77" s="21" t="inlineStr">
        <is>
          <t>Yes</t>
        </is>
      </c>
      <c r="E77" s="20" t="inlineStr">
        <is>
          <t>Applicable to cloud-hosted operations; implemented and evidenced through existing ISMS documentation.</t>
        </is>
      </c>
      <c r="F77" s="20" t="inlineStr">
        <is>
          <t>EV-008</t>
        </is>
      </c>
      <c r="G77" s="21" t="inlineStr">
        <is>
          <t>Implemented</t>
        </is>
      </c>
    </row>
    <row r="78" ht="45.75" customHeight="1" s="14">
      <c r="A78" s="20" t="inlineStr">
        <is>
          <t>A.8.15</t>
        </is>
      </c>
      <c r="B78" s="20" t="inlineStr">
        <is>
          <t>Logging</t>
        </is>
      </c>
      <c r="C78" s="20" t="inlineStr">
        <is>
          <t>Technological</t>
        </is>
      </c>
      <c r="D78" s="21" t="inlineStr">
        <is>
          <t>Yes</t>
        </is>
      </c>
      <c r="E78" s="20" t="inlineStr">
        <is>
          <t>Applicable to cloud-hosted operations; implemented and evidenced through existing ISMS documentation.</t>
        </is>
      </c>
      <c r="F78" s="20" t="inlineStr">
        <is>
          <t>EV-011</t>
        </is>
      </c>
      <c r="G78" s="21" t="inlineStr">
        <is>
          <t>Implemented</t>
        </is>
      </c>
    </row>
    <row r="79" ht="45.75" customHeight="1" s="14">
      <c r="A79" s="20" t="inlineStr">
        <is>
          <t>A.8.16</t>
        </is>
      </c>
      <c r="B79" s="20" t="inlineStr">
        <is>
          <t>Monitoring activities</t>
        </is>
      </c>
      <c r="C79" s="20" t="inlineStr">
        <is>
          <t>Technological</t>
        </is>
      </c>
      <c r="D79" s="21" t="inlineStr">
        <is>
          <t>Yes</t>
        </is>
      </c>
      <c r="E79" s="20" t="inlineStr">
        <is>
          <t>Applicable to cloud-hosted operations; implemented and evidenced through existing ISMS documentation.</t>
        </is>
      </c>
      <c r="F79" s="20" t="inlineStr">
        <is>
          <t>EV-011</t>
        </is>
      </c>
      <c r="G79" s="21" t="inlineStr">
        <is>
          <t>Implemented</t>
        </is>
      </c>
    </row>
    <row r="80" ht="45.75" customHeight="1" s="14">
      <c r="A80" s="20" t="inlineStr">
        <is>
          <t>A.8.17</t>
        </is>
      </c>
      <c r="B80" s="20" t="inlineStr">
        <is>
          <t>Clock synchronization</t>
        </is>
      </c>
      <c r="C80" s="20" t="inlineStr">
        <is>
          <t>Technological</t>
        </is>
      </c>
      <c r="D80" s="21" t="inlineStr">
        <is>
          <t>Yes</t>
        </is>
      </c>
      <c r="E80" s="20" t="inlineStr">
        <is>
          <t>Applicable to cloud-hosted operations; implemented and evidenced through existing ISMS documentation.</t>
        </is>
      </c>
      <c r="F80" s="20" t="inlineStr">
        <is>
          <t>EV-011</t>
        </is>
      </c>
      <c r="G80" s="21" t="inlineStr">
        <is>
          <t>Implemented</t>
        </is>
      </c>
    </row>
    <row r="81" ht="45.75" customHeight="1" s="14">
      <c r="A81" s="20" t="inlineStr">
        <is>
          <t>A.8.18</t>
        </is>
      </c>
      <c r="B81" s="20" t="inlineStr">
        <is>
          <t>Use of privileged utility programs</t>
        </is>
      </c>
      <c r="C81" s="20" t="inlineStr">
        <is>
          <t>Technological</t>
        </is>
      </c>
      <c r="D81" s="21" t="inlineStr">
        <is>
          <t>Yes</t>
        </is>
      </c>
      <c r="E81" s="20" t="inlineStr">
        <is>
          <t>Applicable to cloud-hosted operations; implemented and evidenced through existing ISMS documentation.</t>
        </is>
      </c>
      <c r="F81" s="20" t="inlineStr">
        <is>
          <t>EV-024</t>
        </is>
      </c>
      <c r="G81" s="21" t="inlineStr">
        <is>
          <t>Implemented</t>
        </is>
      </c>
    </row>
    <row r="82" ht="45.75" customHeight="1" s="14">
      <c r="A82" s="20" t="inlineStr">
        <is>
          <t>A.8.19</t>
        </is>
      </c>
      <c r="B82" s="20" t="inlineStr">
        <is>
          <t>Installation of software on operational systems</t>
        </is>
      </c>
      <c r="C82" s="20" t="inlineStr">
        <is>
          <t>Technological</t>
        </is>
      </c>
      <c r="D82" s="21" t="inlineStr">
        <is>
          <t>Yes</t>
        </is>
      </c>
      <c r="E82" s="20" t="inlineStr">
        <is>
          <t>Applicable to cloud-hosted operations; implemented and evidenced through existing ISMS documentation.</t>
        </is>
      </c>
      <c r="F82" s="20" t="inlineStr">
        <is>
          <t>EV-009, EV-026, EV-027</t>
        </is>
      </c>
      <c r="G82" s="21" t="inlineStr">
        <is>
          <t>Implemented</t>
        </is>
      </c>
    </row>
    <row r="83" ht="45.75" customHeight="1" s="14">
      <c r="A83" s="20" t="inlineStr">
        <is>
          <t>A.8.20</t>
        </is>
      </c>
      <c r="B83" s="20" t="inlineStr">
        <is>
          <t>Networks security</t>
        </is>
      </c>
      <c r="C83" s="20" t="inlineStr">
        <is>
          <t>Technological</t>
        </is>
      </c>
      <c r="D83" s="21" t="inlineStr">
        <is>
          <t>Yes</t>
        </is>
      </c>
      <c r="E83" s="20" t="inlineStr">
        <is>
          <t>Applicable to cloud-hosted operations; implemented and evidenced through existing ISMS documentation.</t>
        </is>
      </c>
      <c r="F83" s="20" t="inlineStr">
        <is>
          <t>EV-023</t>
        </is>
      </c>
      <c r="G83" s="21" t="inlineStr">
        <is>
          <t>Implemented</t>
        </is>
      </c>
    </row>
    <row r="84" ht="45.75" customHeight="1" s="14">
      <c r="A84" s="20" t="inlineStr">
        <is>
          <t>A.8.21</t>
        </is>
      </c>
      <c r="B84" s="20" t="inlineStr">
        <is>
          <t>Security of network services</t>
        </is>
      </c>
      <c r="C84" s="20" t="inlineStr">
        <is>
          <t>Technological</t>
        </is>
      </c>
      <c r="D84" s="21" t="inlineStr">
        <is>
          <t>Yes</t>
        </is>
      </c>
      <c r="E84" s="20" t="inlineStr">
        <is>
          <t>Applicable to cloud-hosted operations; implemented and evidenced through existing ISMS documentation.</t>
        </is>
      </c>
      <c r="F84" s="20" t="inlineStr">
        <is>
          <t>EV-023</t>
        </is>
      </c>
      <c r="G84" s="21" t="inlineStr">
        <is>
          <t>Implemented</t>
        </is>
      </c>
    </row>
    <row r="85" ht="45.75" customHeight="1" s="14">
      <c r="A85" s="20" t="inlineStr">
        <is>
          <t>A.8.22</t>
        </is>
      </c>
      <c r="B85" s="20" t="inlineStr">
        <is>
          <t>Segregation of networks</t>
        </is>
      </c>
      <c r="C85" s="20" t="inlineStr">
        <is>
          <t>Technological</t>
        </is>
      </c>
      <c r="D85" s="21" t="inlineStr">
        <is>
          <t>Yes</t>
        </is>
      </c>
      <c r="E85" s="20" t="inlineStr">
        <is>
          <t>Applicable to cloud-hosted operations; implemented and evidenced through existing ISMS documentation.</t>
        </is>
      </c>
      <c r="F85" s="20" t="inlineStr">
        <is>
          <t>EV-023</t>
        </is>
      </c>
      <c r="G85" s="21" t="inlineStr">
        <is>
          <t>Implemented</t>
        </is>
      </c>
    </row>
    <row r="86" ht="45.75" customHeight="1" s="14">
      <c r="A86" s="20" t="inlineStr">
        <is>
          <t>A.8.23</t>
        </is>
      </c>
      <c r="B86" s="20" t="inlineStr">
        <is>
          <t>Web filtering</t>
        </is>
      </c>
      <c r="C86" s="20" t="inlineStr">
        <is>
          <t>Technological</t>
        </is>
      </c>
      <c r="D86" s="21" t="inlineStr">
        <is>
          <t>Yes</t>
        </is>
      </c>
      <c r="E86" s="20" t="inlineStr">
        <is>
          <t>Applicable. No web/DNS filtering solution is currently deployed or documented; identified as a planned control.</t>
        </is>
      </c>
      <c r="F86" s="20" t="inlineStr">
        <is>
          <t>—</t>
        </is>
      </c>
      <c r="G86" s="22" t="inlineStr">
        <is>
          <t>Gap — not yet implemented</t>
        </is>
      </c>
    </row>
    <row r="87" ht="45.75" customHeight="1" s="14">
      <c r="A87" s="20" t="inlineStr">
        <is>
          <t>A.8.24</t>
        </is>
      </c>
      <c r="B87" s="20" t="inlineStr">
        <is>
          <t>Use of cryptography</t>
        </is>
      </c>
      <c r="C87" s="20" t="inlineStr">
        <is>
          <t>Technological</t>
        </is>
      </c>
      <c r="D87" s="21" t="inlineStr">
        <is>
          <t>Yes</t>
        </is>
      </c>
      <c r="E87" s="20" t="inlineStr">
        <is>
          <t>Applicable to cloud-hosted operations; implemented and evidenced through existing ISMS documentation.</t>
        </is>
      </c>
      <c r="F87" s="20" t="inlineStr">
        <is>
          <t>EV-013</t>
        </is>
      </c>
      <c r="G87" s="21" t="inlineStr">
        <is>
          <t>Implemented</t>
        </is>
      </c>
    </row>
    <row r="88" ht="45.75" customHeight="1" s="14">
      <c r="A88" s="20" t="inlineStr">
        <is>
          <t>A.8.25</t>
        </is>
      </c>
      <c r="B88" s="20" t="inlineStr">
        <is>
          <t>Secure development life cycle</t>
        </is>
      </c>
      <c r="C88" s="20" t="inlineStr">
        <is>
          <t>Technological</t>
        </is>
      </c>
      <c r="D88" s="21" t="inlineStr">
        <is>
          <t>Yes</t>
        </is>
      </c>
      <c r="E88" s="20" t="inlineStr">
        <is>
          <t>Applicable to cloud-hosted operations; implemented and evidenced through existing ISMS documentation.</t>
        </is>
      </c>
      <c r="F88" s="20" t="inlineStr">
        <is>
          <t>EV-010</t>
        </is>
      </c>
      <c r="G88" s="21" t="inlineStr">
        <is>
          <t>Implemented</t>
        </is>
      </c>
    </row>
    <row r="89" ht="45.75" customHeight="1" s="14">
      <c r="A89" s="20" t="inlineStr">
        <is>
          <t>A.8.26</t>
        </is>
      </c>
      <c r="B89" s="20" t="inlineStr">
        <is>
          <t>Application security requirements</t>
        </is>
      </c>
      <c r="C89" s="20" t="inlineStr">
        <is>
          <t>Technological</t>
        </is>
      </c>
      <c r="D89" s="21" t="inlineStr">
        <is>
          <t>Yes</t>
        </is>
      </c>
      <c r="E89" s="20" t="inlineStr">
        <is>
          <t>Applicable to cloud-hosted operations; implemented and evidenced through existing ISMS documentation.</t>
        </is>
      </c>
      <c r="F89" s="20" t="inlineStr">
        <is>
          <t>EV-010</t>
        </is>
      </c>
      <c r="G89" s="21" t="inlineStr">
        <is>
          <t>Implemented</t>
        </is>
      </c>
    </row>
    <row r="90" ht="45.75" customHeight="1" s="14">
      <c r="A90" s="20" t="inlineStr">
        <is>
          <t>A.8.27</t>
        </is>
      </c>
      <c r="B90" s="20" t="inlineStr">
        <is>
          <t>Secure system architecture and engineering principles</t>
        </is>
      </c>
      <c r="C90" s="20" t="inlineStr">
        <is>
          <t>Technological</t>
        </is>
      </c>
      <c r="D90" s="21" t="inlineStr">
        <is>
          <t>Yes</t>
        </is>
      </c>
      <c r="E90" s="20" t="inlineStr">
        <is>
          <t>Applicable to cloud-hosted operations; implemented and evidenced through existing ISMS documentation.</t>
        </is>
      </c>
      <c r="F90" s="20" t="inlineStr">
        <is>
          <t>EV-010, EV-023</t>
        </is>
      </c>
      <c r="G90" s="21" t="inlineStr">
        <is>
          <t>Implemented</t>
        </is>
      </c>
    </row>
    <row r="91" ht="45.75" customHeight="1" s="14">
      <c r="A91" s="20" t="inlineStr">
        <is>
          <t>A.8.28</t>
        </is>
      </c>
      <c r="B91" s="20" t="inlineStr">
        <is>
          <t>Secure coding</t>
        </is>
      </c>
      <c r="C91" s="20" t="inlineStr">
        <is>
          <t>Technological</t>
        </is>
      </c>
      <c r="D91" s="21" t="inlineStr">
        <is>
          <t>Yes</t>
        </is>
      </c>
      <c r="E91" s="20" t="inlineStr">
        <is>
          <t>Applicable to cloud-hosted operations; implemented and evidenced through existing ISMS documentation.</t>
        </is>
      </c>
      <c r="F91" s="20" t="inlineStr">
        <is>
          <t>EV-010</t>
        </is>
      </c>
      <c r="G91" s="21" t="inlineStr">
        <is>
          <t>Implemented</t>
        </is>
      </c>
    </row>
    <row r="92" ht="45.75" customHeight="1" s="14">
      <c r="A92" s="20" t="inlineStr">
        <is>
          <t>A.8.29</t>
        </is>
      </c>
      <c r="B92" s="20" t="inlineStr">
        <is>
          <t>Security testing in development and acceptance</t>
        </is>
      </c>
      <c r="C92" s="20" t="inlineStr">
        <is>
          <t>Technological</t>
        </is>
      </c>
      <c r="D92" s="21" t="inlineStr">
        <is>
          <t>Yes</t>
        </is>
      </c>
      <c r="E92" s="20" t="inlineStr">
        <is>
          <t>Applicable to cloud-hosted operations; implemented and evidenced through existing ISMS documentation.</t>
        </is>
      </c>
      <c r="F92" s="20" t="inlineStr">
        <is>
          <t>EV-010</t>
        </is>
      </c>
      <c r="G92" s="21" t="inlineStr">
        <is>
          <t>Implemented</t>
        </is>
      </c>
    </row>
    <row r="93" ht="45.75" customHeight="1" s="14">
      <c r="A93" s="20" t="inlineStr">
        <is>
          <t>A.8.30</t>
        </is>
      </c>
      <c r="B93" s="20" t="inlineStr">
        <is>
          <t>Outsourced development</t>
        </is>
      </c>
      <c r="C93" s="20" t="inlineStr">
        <is>
          <t>Technological</t>
        </is>
      </c>
      <c r="D93" s="23" t="inlineStr">
        <is>
          <t>No</t>
        </is>
      </c>
      <c r="E93" s="20" t="inlineStr">
        <is>
          <t>Not applicable. All software development is performed in-house by employed engineering staff; the organization currently has no outsourced development arrangements.</t>
        </is>
      </c>
      <c r="F93" s="20" t="inlineStr">
        <is>
          <t>—</t>
        </is>
      </c>
      <c r="G93" s="23" t="inlineStr">
        <is>
          <t>N/A — re-evaluate if outsourcing is introduced</t>
        </is>
      </c>
    </row>
    <row r="94" ht="45.75" customHeight="1" s="14">
      <c r="A94" s="20" t="inlineStr">
        <is>
          <t>A.8.31</t>
        </is>
      </c>
      <c r="B94" s="20" t="inlineStr">
        <is>
          <t>Separation of development, test and production environments</t>
        </is>
      </c>
      <c r="C94" s="20" t="inlineStr">
        <is>
          <t>Technological</t>
        </is>
      </c>
      <c r="D94" s="21" t="inlineStr">
        <is>
          <t>Yes</t>
        </is>
      </c>
      <c r="E94" s="20" t="inlineStr">
        <is>
          <t>Applicable. Development, test, and production environments are separated at the cloud infrastructure level (see Cloud Security Configuration Baseline and Secure Development Standard), but this separation is not yet documented as a standalone, auditable control.</t>
        </is>
      </c>
      <c r="F94" s="20" t="inlineStr">
        <is>
          <t>—</t>
        </is>
      </c>
      <c r="G94" s="22" t="inlineStr">
        <is>
          <t>Partial — implemented, not formally documented</t>
        </is>
      </c>
    </row>
    <row r="95" ht="45.75" customHeight="1" s="14">
      <c r="A95" s="20" t="inlineStr">
        <is>
          <t>A.8.32</t>
        </is>
      </c>
      <c r="B95" s="20" t="inlineStr">
        <is>
          <t>Change management</t>
        </is>
      </c>
      <c r="C95" s="20" t="inlineStr">
        <is>
          <t>Technological</t>
        </is>
      </c>
      <c r="D95" s="21" t="inlineStr">
        <is>
          <t>Yes</t>
        </is>
      </c>
      <c r="E95" s="20" t="inlineStr">
        <is>
          <t>Applicable to cloud-hosted operations; implemented and evidenced through existing ISMS documentation.</t>
        </is>
      </c>
      <c r="F95" s="20" t="inlineStr">
        <is>
          <t>EV-025</t>
        </is>
      </c>
      <c r="G95" s="21" t="inlineStr">
        <is>
          <t>Implemented</t>
        </is>
      </c>
    </row>
    <row r="96" ht="45.75" customHeight="1" s="14">
      <c r="A96" s="20" t="inlineStr">
        <is>
          <t>A.8.33</t>
        </is>
      </c>
      <c r="B96" s="20" t="inlineStr">
        <is>
          <t>Test information</t>
        </is>
      </c>
      <c r="C96" s="20" t="inlineStr">
        <is>
          <t>Technological</t>
        </is>
      </c>
      <c r="D96" s="21" t="inlineStr">
        <is>
          <t>Yes</t>
        </is>
      </c>
      <c r="E96" s="20" t="inlineStr">
        <is>
          <t>Applicable. Test data handling is partially addressed through the data masking practices in the Data Classification &amp; Handling Standard, but no dedicated test-data management procedure exists.</t>
        </is>
      </c>
      <c r="F96" s="20" t="inlineStr">
        <is>
          <t>—</t>
        </is>
      </c>
      <c r="G96" s="22" t="inlineStr">
        <is>
          <t>Partial — covered indirectly by EV-014</t>
        </is>
      </c>
    </row>
    <row r="97" ht="45.75" customHeight="1" s="14">
      <c r="A97" s="20" t="inlineStr">
        <is>
          <t>A.8.34</t>
        </is>
      </c>
      <c r="B97" s="20" t="inlineStr">
        <is>
          <t>Protection of information systems during audit testing</t>
        </is>
      </c>
      <c r="C97" s="20" t="inlineStr">
        <is>
          <t>Technological</t>
        </is>
      </c>
      <c r="D97" s="21" t="inlineStr">
        <is>
          <t>Yes</t>
        </is>
      </c>
      <c r="E97" s="20" t="inlineStr">
        <is>
          <t>Applicable to cloud-hosted operations; implemented and evidenced through existing ISMS documentation.</t>
        </is>
      </c>
      <c r="F97" s="20" t="inlineStr">
        <is>
          <t>EV-032</t>
        </is>
      </c>
      <c r="G97" s="21" t="inlineStr">
        <is>
          <t>Implemented</t>
        </is>
      </c>
    </row>
  </sheetData>
  <mergeCells count="2">
    <mergeCell ref="A2:G2"/>
    <mergeCell ref="A1:G1"/>
  </mergeCells>
  <dataValidations count="1">
    <dataValidation sqref="D5:D97" showDropDown="0" showInputMessage="0" showErrorMessage="0" allowBlank="0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3" min="1" max="1"/>
    <col width="42" customWidth="1" style="13" min="2" max="2"/>
    <col width="10" customWidth="1" style="13" min="3" max="3"/>
  </cols>
  <sheetData>
    <row r="2" ht="19.7" customHeight="1" s="14">
      <c r="B2" s="15" t="inlineStr">
        <is>
          <t>Applicability Summary</t>
        </is>
      </c>
    </row>
    <row r="4" ht="15" customHeight="1" s="14">
      <c r="B4" s="24" t="inlineStr">
        <is>
          <t>Applicable</t>
        </is>
      </c>
      <c r="C4" s="24" t="inlineStr">
        <is>
          <t>Count</t>
        </is>
      </c>
    </row>
    <row r="5" ht="15" customHeight="1" s="14">
      <c r="B5" s="18" t="inlineStr">
        <is>
          <t>Yes</t>
        </is>
      </c>
      <c r="C5" s="18">
        <f>COUNTIF('Statement of Applicability'!$D$5:$D$97,B5)</f>
        <v/>
      </c>
    </row>
    <row r="6" ht="15" customHeight="1" s="14">
      <c r="B6" s="18" t="inlineStr">
        <is>
          <t>No</t>
        </is>
      </c>
      <c r="C6" s="18">
        <f>COUNTIF('Statement of Applicability'!$D$5:$D$97,B6)</f>
        <v/>
      </c>
    </row>
    <row r="9" ht="15" customHeight="1" s="14">
      <c r="B9" s="24" t="inlineStr">
        <is>
          <t>Implementation Status</t>
        </is>
      </c>
      <c r="C9" s="24" t="inlineStr">
        <is>
          <t>Count</t>
        </is>
      </c>
    </row>
    <row r="10" ht="15" customHeight="1" s="14">
      <c r="B10" s="18" t="inlineStr">
        <is>
          <t>Implemented</t>
        </is>
      </c>
      <c r="C10" s="18">
        <f>COUNTIF('Statement of Applicability'!$G$5:$G$97,"Implemented")</f>
        <v/>
      </c>
    </row>
    <row r="11" ht="15" customHeight="1" s="14">
      <c r="B11" s="18" t="inlineStr">
        <is>
          <t>Partial / Gap (contains 'Gap' or 'Partial')</t>
        </is>
      </c>
      <c r="C11" s="18">
        <f>SUMPRODUCT(--ISNUMBER(SEARCH("Gap",'Statement of Applicability'!$G$5:$G$97)))+SUMPRODUCT(--ISNUMBER(SEARCH("Partial",'Statement of Applicability'!$G$5:$G$97)))</f>
        <v/>
      </c>
    </row>
    <row r="12" ht="15" customHeight="1" s="14">
      <c r="B12" s="18" t="inlineStr">
        <is>
          <t>Not Applicable</t>
        </is>
      </c>
      <c r="C12" s="18">
        <f>COUNTIF('Statement of Applicability'!$D$5:$D$97,"No")</f>
        <v/>
      </c>
    </row>
    <row r="16" ht="15" customHeight="1" s="14">
      <c r="B16" s="17" t="inlineStr">
        <is>
          <t>Total Annex A Controls</t>
        </is>
      </c>
      <c r="C16" s="17">
        <f>COUNTA('Statement of Applicability'!$A$5:$A$97)</f>
        <v/>
      </c>
    </row>
  </sheetData>
  <mergeCells count="1"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2026-09-04T11:37:24Z</dcterms:created>
  <dcterms:modified xmlns:dcterms="http://purl.org/dc/terms/" xmlns:xsi="http://www.w3.org/2001/XMLSchema-instance" xsi:type="dcterms:W3CDTF">2026-09-04T11:37:34Z</dcterms:modified>
  <cp:revision>0</cp:revision>
</cp:coreProperties>
</file>